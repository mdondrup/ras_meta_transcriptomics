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ondrup/Desktop/RAS/"/>
    </mc:Choice>
  </mc:AlternateContent>
  <xr:revisionPtr revIDLastSave="0" documentId="13_ncr:1_{9291F631-D535-B248-B3CC-C93F453A1500}" xr6:coauthVersionLast="47" xr6:coauthVersionMax="47" xr10:uidLastSave="{00000000-0000-0000-0000-000000000000}"/>
  <bookViews>
    <workbookView xWindow="0" yWindow="500" windowWidth="29040" windowHeight="15720" xr2:uid="{939F2638-42C0-4D05-AA83-29768F38E4D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R25" i="1"/>
  <c r="R24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<sst xmlns="http://schemas.openxmlformats.org/spreadsheetml/2006/main" count="67" uniqueCount="56">
  <si>
    <t>A2_7A</t>
  </si>
  <si>
    <t>A2_7B</t>
  </si>
  <si>
    <t>A2_12A</t>
  </si>
  <si>
    <t>A2_20A</t>
  </si>
  <si>
    <t>A2_12B</t>
  </si>
  <si>
    <t>A2_20B</t>
  </si>
  <si>
    <t>B2_7A</t>
  </si>
  <si>
    <t>B2_7B</t>
  </si>
  <si>
    <t>B2_12A</t>
  </si>
  <si>
    <t>B2_12B</t>
  </si>
  <si>
    <t>B2_20A</t>
  </si>
  <si>
    <t>B2_20B</t>
  </si>
  <si>
    <t>A9_7A</t>
  </si>
  <si>
    <t>A9_7B</t>
  </si>
  <si>
    <t>A9_12A</t>
  </si>
  <si>
    <t>A9_12B</t>
  </si>
  <si>
    <t>A9_20A</t>
  </si>
  <si>
    <t>A9_20B</t>
  </si>
  <si>
    <t>B9_7A</t>
  </si>
  <si>
    <t>B9_7B</t>
  </si>
  <si>
    <t>B9_12A</t>
  </si>
  <si>
    <t>B9_12B</t>
  </si>
  <si>
    <t>B9_20A</t>
  </si>
  <si>
    <t>B9_20B</t>
  </si>
  <si>
    <r>
      <t>amount (ng.µl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</si>
  <si>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A6_7A</t>
  </si>
  <si>
    <t>A6_7B</t>
  </si>
  <si>
    <t>A6_12A</t>
  </si>
  <si>
    <t>A6_12B</t>
  </si>
  <si>
    <t>A6_20A</t>
  </si>
  <si>
    <t>A6_20B</t>
  </si>
  <si>
    <t>B6_7A</t>
  </si>
  <si>
    <t>B6_7B</t>
  </si>
  <si>
    <t>B6_12A</t>
  </si>
  <si>
    <t>B6_12B</t>
  </si>
  <si>
    <t>B6_20A</t>
  </si>
  <si>
    <t>B6_20B</t>
  </si>
  <si>
    <t>total volume (µl)</t>
  </si>
  <si>
    <t>Sampling date</t>
  </si>
  <si>
    <t>Sampling Time</t>
  </si>
  <si>
    <t>RAS_system</t>
  </si>
  <si>
    <t>Treatment (targeted alkalinity)</t>
  </si>
  <si>
    <t>11/17/2022</t>
  </si>
  <si>
    <t>Sample ID</t>
  </si>
  <si>
    <t>ratio 260/280</t>
  </si>
  <si>
    <t>ratio 260/230</t>
  </si>
  <si>
    <t>Flow_rate(l/min)</t>
  </si>
  <si>
    <t>TAN_in (mg/l)</t>
  </si>
  <si>
    <t>pH_in</t>
  </si>
  <si>
    <t>NO2_in (mg/l)</t>
  </si>
  <si>
    <t>Alkalinity_in (mg/l as CaCO3)</t>
  </si>
  <si>
    <t>TAN_out (mg/l)</t>
  </si>
  <si>
    <t>pH_out</t>
  </si>
  <si>
    <t>NO2_out (mg/l)</t>
  </si>
  <si>
    <t>Alkalinity_out (mg/l as CaCO3)</t>
  </si>
  <si>
    <t>#NB: Sample ID is as followed : first letter A or B is from RAS system 1 or 12 respectively, first number of treatment (2,6,9), second number sampling time (7,12,20), last letter indicate a replicate (A or B). These sample are sample from the RASTools project and were part of larger experiment of 9 treatment we took treatment 2,6 and 9 as 4 week separate each of these treatment. Environmental parameters were taken before (in) and after (out) of the biofilter. The RNA was extracted from  2*5 biocarriers (1 replicate A or B =5 biocarriers) biocarriers).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</si>
</sst>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21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2" fontId="0" fillId="2" borderId="1" xfId="0" applyNumberFormat="1" applyFill="1" applyBorder="1"/>
    <xf numFmtId="0" fontId="0" fillId="0" borderId="3" xfId="0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FCA0-8BB4-4FC3-A7F7-EF95BBC68EA9}">
  <dimension ref="A1:R39"/>
  <sheetViews>
    <sheetView tabSelected="1" topLeftCell="A14" workbookViewId="0">
      <selection activeCell="A39" sqref="A39"/>
    </sheetView>
  </sheetViews>
  <sheetFormatPr baseColWidth="10" defaultRowHeight="15" x14ac:dyDescent="0.2"/>
  <cols>
    <col min="2" max="2" width="15.83203125" customWidth="1"/>
    <col min="3" max="3" width="14.33203125" customWidth="1"/>
    <col min="4" max="4" width="18" customWidth="1"/>
    <col min="5" max="5" width="19.5" customWidth="1"/>
    <col min="6" max="7" width="18.33203125" customWidth="1"/>
    <col min="9" max="9" width="38.5" customWidth="1"/>
    <col min="10" max="10" width="18.5" customWidth="1"/>
    <col min="11" max="11" width="20.5" customWidth="1"/>
    <col min="12" max="12" width="16.83203125" customWidth="1"/>
    <col min="13" max="13" width="29.33203125" customWidth="1"/>
    <col min="17" max="17" width="32.33203125" customWidth="1"/>
    <col min="18" max="18" width="15.5" customWidth="1"/>
  </cols>
  <sheetData>
    <row r="1" spans="1:18" ht="17" x14ac:dyDescent="0.2">
      <c r="A1" s="1" t="s">
        <v>43</v>
      </c>
      <c r="B1" s="1" t="s">
        <v>24</v>
      </c>
      <c r="C1" s="1" t="s">
        <v>44</v>
      </c>
      <c r="D1" s="1" t="s">
        <v>45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6" t="s">
        <v>46</v>
      </c>
    </row>
    <row r="2" spans="1:18" x14ac:dyDescent="0.2">
      <c r="A2" s="1" t="s">
        <v>0</v>
      </c>
      <c r="B2" s="1">
        <v>512</v>
      </c>
      <c r="C2" s="1">
        <v>2.0499999999999998</v>
      </c>
      <c r="D2" s="1">
        <v>2.19</v>
      </c>
      <c r="E2" s="1">
        <v>100</v>
      </c>
      <c r="F2" s="3">
        <v>44826</v>
      </c>
      <c r="G2" s="2">
        <v>0.29166666666666669</v>
      </c>
      <c r="H2" s="1">
        <v>1</v>
      </c>
      <c r="I2" s="1">
        <v>100</v>
      </c>
      <c r="J2" s="5">
        <v>0.33</v>
      </c>
      <c r="K2" s="5">
        <v>7.3780000000000001</v>
      </c>
      <c r="L2" s="5">
        <v>0.28000000000000003</v>
      </c>
      <c r="M2" s="5">
        <v>118.8</v>
      </c>
      <c r="N2" s="5">
        <v>0.2</v>
      </c>
      <c r="O2" s="5">
        <v>7.64</v>
      </c>
      <c r="P2" s="5">
        <v>0.23</v>
      </c>
      <c r="Q2" s="5">
        <v>117.6</v>
      </c>
      <c r="R2" s="7">
        <f>AVERAGE(60,54.5,49.1)</f>
        <v>54.533333333333331</v>
      </c>
    </row>
    <row r="3" spans="1:18" x14ac:dyDescent="0.2">
      <c r="A3" s="1" t="s">
        <v>1</v>
      </c>
      <c r="B3" s="1">
        <v>351</v>
      </c>
      <c r="C3" s="1">
        <v>2.06</v>
      </c>
      <c r="D3" s="1">
        <v>2.33</v>
      </c>
      <c r="E3" s="1">
        <v>100</v>
      </c>
      <c r="F3" s="3">
        <v>44826</v>
      </c>
      <c r="G3" s="2">
        <v>0.29166666666666669</v>
      </c>
      <c r="H3" s="1">
        <v>1</v>
      </c>
      <c r="I3" s="1">
        <v>100</v>
      </c>
      <c r="J3" s="5">
        <v>0.33</v>
      </c>
      <c r="K3" s="5">
        <v>7.3780000000000001</v>
      </c>
      <c r="L3" s="5">
        <v>0.28000000000000003</v>
      </c>
      <c r="M3" s="5">
        <v>118.8</v>
      </c>
      <c r="N3" s="5">
        <v>0.2</v>
      </c>
      <c r="O3" s="5">
        <v>7.64</v>
      </c>
      <c r="P3" s="5">
        <v>0.23</v>
      </c>
      <c r="Q3" s="5">
        <v>117.6</v>
      </c>
      <c r="R3" s="7">
        <f>AVERAGE(60,54.5,49.1)</f>
        <v>54.533333333333331</v>
      </c>
    </row>
    <row r="4" spans="1:18" x14ac:dyDescent="0.2">
      <c r="A4" s="1" t="s">
        <v>2</v>
      </c>
      <c r="B4" s="1">
        <v>450</v>
      </c>
      <c r="C4" s="1">
        <v>2</v>
      </c>
      <c r="D4" s="1">
        <v>2.2999999999999998</v>
      </c>
      <c r="E4" s="1">
        <v>100</v>
      </c>
      <c r="F4" s="3">
        <v>44826</v>
      </c>
      <c r="G4" s="2">
        <v>0.5</v>
      </c>
      <c r="H4" s="1">
        <v>1</v>
      </c>
      <c r="I4" s="1">
        <v>100</v>
      </c>
      <c r="J4" s="5">
        <v>0.55000000000000004</v>
      </c>
      <c r="K4" s="5">
        <v>7.3390000000000004</v>
      </c>
      <c r="L4" s="5">
        <v>0.22</v>
      </c>
      <c r="M4" s="5">
        <v>113.1</v>
      </c>
      <c r="N4" s="5">
        <v>0.24</v>
      </c>
      <c r="O4" s="5">
        <v>7.6740000000000004</v>
      </c>
      <c r="P4" s="5">
        <v>0.21</v>
      </c>
      <c r="Q4" s="5">
        <v>114.2</v>
      </c>
      <c r="R4" s="7">
        <f t="shared" ref="R4:R7" si="0">AVERAGE(60,54.5,49.1)</f>
        <v>54.533333333333331</v>
      </c>
    </row>
    <row r="5" spans="1:18" x14ac:dyDescent="0.2">
      <c r="A5" s="1" t="s">
        <v>4</v>
      </c>
      <c r="B5" s="1">
        <v>472</v>
      </c>
      <c r="C5" s="1">
        <v>2.0499999999999998</v>
      </c>
      <c r="D5" s="1">
        <v>2.37</v>
      </c>
      <c r="E5" s="1">
        <v>100</v>
      </c>
      <c r="F5" s="3">
        <v>44826</v>
      </c>
      <c r="G5" s="2">
        <v>0.5</v>
      </c>
      <c r="H5" s="1">
        <v>1</v>
      </c>
      <c r="I5" s="1">
        <v>100</v>
      </c>
      <c r="J5" s="5">
        <v>0.55000000000000004</v>
      </c>
      <c r="K5" s="5">
        <v>7.3390000000000004</v>
      </c>
      <c r="L5" s="5">
        <v>0.22</v>
      </c>
      <c r="M5" s="5">
        <v>113.1</v>
      </c>
      <c r="N5" s="5">
        <v>0.24</v>
      </c>
      <c r="O5" s="5">
        <v>7.6740000000000004</v>
      </c>
      <c r="P5" s="5">
        <v>0.21</v>
      </c>
      <c r="Q5" s="5">
        <v>114.2</v>
      </c>
      <c r="R5" s="7">
        <f t="shared" si="0"/>
        <v>54.533333333333331</v>
      </c>
    </row>
    <row r="6" spans="1:18" x14ac:dyDescent="0.2">
      <c r="A6" s="1" t="s">
        <v>3</v>
      </c>
      <c r="B6" s="1">
        <v>750</v>
      </c>
      <c r="C6" s="1">
        <v>2.02</v>
      </c>
      <c r="D6" s="1">
        <v>2.33</v>
      </c>
      <c r="E6" s="1">
        <v>100</v>
      </c>
      <c r="F6" s="3">
        <v>44826</v>
      </c>
      <c r="G6" s="2">
        <v>0.83333333333333337</v>
      </c>
      <c r="H6" s="1">
        <v>1</v>
      </c>
      <c r="I6" s="1">
        <v>100</v>
      </c>
      <c r="J6" s="5">
        <v>1.18</v>
      </c>
      <c r="K6" s="5">
        <v>7.3330000000000002</v>
      </c>
      <c r="L6" s="5">
        <v>0.77</v>
      </c>
      <c r="M6" s="5">
        <v>129.9</v>
      </c>
      <c r="N6" s="5">
        <v>0.44</v>
      </c>
      <c r="O6" s="5">
        <v>7.6130000000000004</v>
      </c>
      <c r="P6" s="5">
        <v>0.66</v>
      </c>
      <c r="Q6" s="5">
        <v>128.9</v>
      </c>
      <c r="R6" s="7">
        <f t="shared" si="0"/>
        <v>54.533333333333331</v>
      </c>
    </row>
    <row r="7" spans="1:18" x14ac:dyDescent="0.2">
      <c r="A7" s="1" t="s">
        <v>5</v>
      </c>
      <c r="B7" s="1">
        <v>1012</v>
      </c>
      <c r="C7" s="1">
        <v>2.02</v>
      </c>
      <c r="D7" s="1">
        <v>2.36</v>
      </c>
      <c r="E7" s="1">
        <v>100</v>
      </c>
      <c r="F7" s="3">
        <v>44826</v>
      </c>
      <c r="G7" s="2">
        <v>0.83333333333333337</v>
      </c>
      <c r="H7" s="1">
        <v>1</v>
      </c>
      <c r="I7" s="1">
        <v>100</v>
      </c>
      <c r="J7" s="5">
        <v>1.18</v>
      </c>
      <c r="K7" s="5">
        <v>7.3330000000000002</v>
      </c>
      <c r="L7" s="5">
        <v>0.77</v>
      </c>
      <c r="M7" s="5">
        <v>129.9</v>
      </c>
      <c r="N7" s="5">
        <v>0.44</v>
      </c>
      <c r="O7" s="5">
        <v>7.6130000000000004</v>
      </c>
      <c r="P7" s="5">
        <v>0.66</v>
      </c>
      <c r="Q7" s="5">
        <v>128.9</v>
      </c>
      <c r="R7" s="7">
        <f t="shared" si="0"/>
        <v>54.533333333333331</v>
      </c>
    </row>
    <row r="8" spans="1:18" x14ac:dyDescent="0.2">
      <c r="A8" s="1" t="s">
        <v>6</v>
      </c>
      <c r="B8" s="1">
        <v>750</v>
      </c>
      <c r="C8" s="1">
        <v>2.0699999999999998</v>
      </c>
      <c r="D8" s="1">
        <v>2.33</v>
      </c>
      <c r="E8" s="1">
        <v>100</v>
      </c>
      <c r="F8" s="3">
        <v>44826</v>
      </c>
      <c r="G8" s="2">
        <v>0.29166666666666669</v>
      </c>
      <c r="H8" s="1">
        <v>12</v>
      </c>
      <c r="I8" s="1">
        <v>100</v>
      </c>
      <c r="J8" s="5">
        <v>0.35</v>
      </c>
      <c r="K8" s="5">
        <v>7.2759999999999998</v>
      </c>
      <c r="L8" s="5">
        <v>0.34</v>
      </c>
      <c r="M8" s="5">
        <v>116.7</v>
      </c>
      <c r="N8" s="5">
        <v>0.2</v>
      </c>
      <c r="O8" s="5">
        <v>7.585</v>
      </c>
      <c r="P8" s="5">
        <v>0.3</v>
      </c>
      <c r="Q8" s="5">
        <v>116.7</v>
      </c>
      <c r="R8" s="5">
        <f>AVERAGE(54.5,60)</f>
        <v>57.25</v>
      </c>
    </row>
    <row r="9" spans="1:18" x14ac:dyDescent="0.2">
      <c r="A9" s="1" t="s">
        <v>7</v>
      </c>
      <c r="B9" s="1">
        <v>397</v>
      </c>
      <c r="C9" s="1">
        <v>2.04</v>
      </c>
      <c r="D9" s="1">
        <v>2.33</v>
      </c>
      <c r="E9" s="1">
        <v>100</v>
      </c>
      <c r="F9" s="3">
        <v>44826</v>
      </c>
      <c r="G9" s="2">
        <v>0.29166666666666669</v>
      </c>
      <c r="H9" s="1">
        <v>12</v>
      </c>
      <c r="I9" s="1">
        <v>100</v>
      </c>
      <c r="J9" s="5">
        <v>0.35</v>
      </c>
      <c r="K9" s="5">
        <v>7.2759999999999998</v>
      </c>
      <c r="L9" s="5">
        <v>0.34</v>
      </c>
      <c r="M9" s="5">
        <v>116.7</v>
      </c>
      <c r="N9" s="5">
        <v>0.2</v>
      </c>
      <c r="O9" s="5">
        <v>7.585</v>
      </c>
      <c r="P9" s="5">
        <v>0.3</v>
      </c>
      <c r="Q9" s="5">
        <v>116.7</v>
      </c>
      <c r="R9" s="5">
        <f>AVERAGE(54.5,60)</f>
        <v>57.25</v>
      </c>
    </row>
    <row r="10" spans="1:18" x14ac:dyDescent="0.2">
      <c r="A10" s="1" t="s">
        <v>8</v>
      </c>
      <c r="B10" s="1">
        <v>598</v>
      </c>
      <c r="C10" s="1">
        <v>2.08</v>
      </c>
      <c r="D10" s="1">
        <v>0.3</v>
      </c>
      <c r="E10" s="1">
        <v>100</v>
      </c>
      <c r="F10" s="3">
        <v>44826</v>
      </c>
      <c r="G10" s="2">
        <v>0.5</v>
      </c>
      <c r="H10" s="1">
        <v>12</v>
      </c>
      <c r="I10" s="1">
        <v>100</v>
      </c>
      <c r="J10" s="5">
        <v>0.57999999999999996</v>
      </c>
      <c r="K10" s="5">
        <v>7.22</v>
      </c>
      <c r="L10" s="5">
        <v>0.24</v>
      </c>
      <c r="M10" s="5">
        <v>112.4</v>
      </c>
      <c r="N10" s="5">
        <v>0.19</v>
      </c>
      <c r="O10" s="5">
        <v>7.5819999999999999</v>
      </c>
      <c r="P10" s="5">
        <v>0.21</v>
      </c>
      <c r="Q10" s="5">
        <v>110.8</v>
      </c>
      <c r="R10" s="5">
        <f t="shared" ref="R10:R13" si="1">AVERAGE(54.5,60)</f>
        <v>57.25</v>
      </c>
    </row>
    <row r="11" spans="1:18" x14ac:dyDescent="0.2">
      <c r="A11" s="1" t="s">
        <v>9</v>
      </c>
      <c r="B11" s="1">
        <v>629</v>
      </c>
      <c r="C11" s="1">
        <v>2.0499999999999998</v>
      </c>
      <c r="D11" s="1">
        <v>2.35</v>
      </c>
      <c r="E11" s="1">
        <v>100</v>
      </c>
      <c r="F11" s="3">
        <v>44826</v>
      </c>
      <c r="G11" s="2">
        <v>0.5</v>
      </c>
      <c r="H11" s="1">
        <v>12</v>
      </c>
      <c r="I11" s="1">
        <v>100</v>
      </c>
      <c r="J11" s="5">
        <v>0.57999999999999996</v>
      </c>
      <c r="K11" s="5">
        <v>7.22</v>
      </c>
      <c r="L11" s="5">
        <v>0.24</v>
      </c>
      <c r="M11" s="5">
        <v>112.4</v>
      </c>
      <c r="N11" s="5">
        <v>0.19</v>
      </c>
      <c r="O11" s="5">
        <v>7.5819999999999999</v>
      </c>
      <c r="P11" s="5">
        <v>0.21</v>
      </c>
      <c r="Q11" s="5">
        <v>110.8</v>
      </c>
      <c r="R11" s="5">
        <f t="shared" si="1"/>
        <v>57.25</v>
      </c>
    </row>
    <row r="12" spans="1:18" x14ac:dyDescent="0.2">
      <c r="A12" s="1" t="s">
        <v>10</v>
      </c>
      <c r="B12" s="1">
        <v>702</v>
      </c>
      <c r="C12" s="1">
        <v>2.04</v>
      </c>
      <c r="D12" s="1">
        <v>2.3199999999999998</v>
      </c>
      <c r="E12" s="1">
        <v>100</v>
      </c>
      <c r="F12" s="3">
        <v>44826</v>
      </c>
      <c r="G12" s="2">
        <v>0.83333333333333337</v>
      </c>
      <c r="H12" s="1">
        <v>12</v>
      </c>
      <c r="I12" s="1">
        <v>100</v>
      </c>
      <c r="J12" s="5">
        <v>1.27</v>
      </c>
      <c r="K12" s="5">
        <v>7.2210000000000001</v>
      </c>
      <c r="L12" s="5">
        <v>0.86</v>
      </c>
      <c r="M12" s="5">
        <v>126.5</v>
      </c>
      <c r="N12" s="5">
        <v>0.33</v>
      </c>
      <c r="O12" s="5">
        <v>7.5030000000000001</v>
      </c>
      <c r="P12" s="5">
        <v>0.73</v>
      </c>
      <c r="Q12" s="5">
        <v>125.5</v>
      </c>
      <c r="R12" s="5">
        <f t="shared" si="1"/>
        <v>57.25</v>
      </c>
    </row>
    <row r="13" spans="1:18" x14ac:dyDescent="0.2">
      <c r="A13" s="1" t="s">
        <v>11</v>
      </c>
      <c r="B13" s="1">
        <v>700</v>
      </c>
      <c r="C13" s="1">
        <v>2.08</v>
      </c>
      <c r="D13" s="1">
        <v>2.3199999999999998</v>
      </c>
      <c r="E13" s="1">
        <v>100</v>
      </c>
      <c r="F13" s="3">
        <v>44826</v>
      </c>
      <c r="G13" s="2">
        <v>0.83333333333333337</v>
      </c>
      <c r="H13" s="1">
        <v>12</v>
      </c>
      <c r="I13" s="1">
        <v>100</v>
      </c>
      <c r="J13" s="9">
        <v>1.27</v>
      </c>
      <c r="K13" s="9">
        <v>7.2210000000000001</v>
      </c>
      <c r="L13" s="9">
        <v>0.86</v>
      </c>
      <c r="M13" s="9">
        <v>126.5</v>
      </c>
      <c r="N13" s="9">
        <v>0.33</v>
      </c>
      <c r="O13" s="9">
        <v>7.5030000000000001</v>
      </c>
      <c r="P13" s="9">
        <v>0.73</v>
      </c>
      <c r="Q13" s="9">
        <v>125.5</v>
      </c>
      <c r="R13" s="9">
        <f t="shared" si="1"/>
        <v>57.25</v>
      </c>
    </row>
    <row r="14" spans="1:18" x14ac:dyDescent="0.2">
      <c r="A14" s="1" t="s">
        <v>25</v>
      </c>
      <c r="B14" s="1">
        <v>523</v>
      </c>
      <c r="C14" s="1">
        <v>2.1</v>
      </c>
      <c r="D14" s="1">
        <v>2.3199999999999998</v>
      </c>
      <c r="E14" s="1">
        <v>100</v>
      </c>
      <c r="F14" s="4" t="s">
        <v>42</v>
      </c>
      <c r="G14" s="2">
        <v>0.29166666666666669</v>
      </c>
      <c r="H14" s="1">
        <v>1</v>
      </c>
      <c r="I14" s="8">
        <v>100</v>
      </c>
      <c r="J14" s="1">
        <v>0.16500000000000001</v>
      </c>
      <c r="K14" s="1">
        <v>7.3869999999999996</v>
      </c>
      <c r="L14" s="1">
        <v>0.06</v>
      </c>
      <c r="M14" s="1">
        <v>124.6</v>
      </c>
      <c r="N14" s="1">
        <v>0.1</v>
      </c>
      <c r="O14" s="1">
        <v>7.5880000000000001</v>
      </c>
      <c r="P14" s="1">
        <v>0.06</v>
      </c>
      <c r="Q14" s="1">
        <v>121.17</v>
      </c>
      <c r="R14" s="5">
        <f>AVERAGE(70.9)</f>
        <v>70.900000000000006</v>
      </c>
    </row>
    <row r="15" spans="1:18" x14ac:dyDescent="0.2">
      <c r="A15" s="1" t="s">
        <v>26</v>
      </c>
      <c r="B15" s="1">
        <v>485</v>
      </c>
      <c r="C15" s="1">
        <v>2.06</v>
      </c>
      <c r="D15" s="1">
        <v>2.2999999999999998</v>
      </c>
      <c r="E15" s="1">
        <v>100</v>
      </c>
      <c r="F15" s="4" t="s">
        <v>42</v>
      </c>
      <c r="G15" s="2">
        <v>0.29166666666666669</v>
      </c>
      <c r="H15" s="1">
        <v>1</v>
      </c>
      <c r="I15" s="1">
        <v>100</v>
      </c>
      <c r="J15" s="1">
        <v>0.16500000000000001</v>
      </c>
      <c r="K15" s="1">
        <v>7.3869999999999996</v>
      </c>
      <c r="L15" s="1">
        <v>0.06</v>
      </c>
      <c r="M15" s="1">
        <v>124.6</v>
      </c>
      <c r="N15" s="1">
        <v>0.1</v>
      </c>
      <c r="O15" s="1">
        <v>7.5880000000000001</v>
      </c>
      <c r="P15" s="1">
        <v>0.06</v>
      </c>
      <c r="Q15" s="1">
        <v>121.17</v>
      </c>
      <c r="R15" s="5">
        <f>AVERAGE(70.9)</f>
        <v>70.900000000000006</v>
      </c>
    </row>
    <row r="16" spans="1:18" x14ac:dyDescent="0.2">
      <c r="A16" s="1" t="s">
        <v>27</v>
      </c>
      <c r="B16" s="1">
        <v>507</v>
      </c>
      <c r="C16" s="1">
        <v>2.0699999999999998</v>
      </c>
      <c r="D16" s="1">
        <v>2.29</v>
      </c>
      <c r="E16" s="1">
        <v>100</v>
      </c>
      <c r="F16" s="4" t="s">
        <v>42</v>
      </c>
      <c r="G16" s="2">
        <v>0.5</v>
      </c>
      <c r="H16" s="1">
        <v>1</v>
      </c>
      <c r="I16" s="1">
        <v>100</v>
      </c>
      <c r="J16" s="5">
        <v>0.5</v>
      </c>
      <c r="K16" s="5">
        <v>7.3049999999999997</v>
      </c>
      <c r="L16" s="5">
        <v>0.10500000000000001</v>
      </c>
      <c r="M16" s="5">
        <v>118.5</v>
      </c>
      <c r="N16" s="5">
        <v>0.23</v>
      </c>
      <c r="O16" s="5">
        <v>7.5389999999999997</v>
      </c>
      <c r="P16" s="5">
        <v>0.09</v>
      </c>
      <c r="Q16" s="5">
        <v>116</v>
      </c>
      <c r="R16" s="5">
        <f t="shared" ref="R16:R19" si="2">AVERAGE(70.9)</f>
        <v>70.900000000000006</v>
      </c>
    </row>
    <row r="17" spans="1:18" x14ac:dyDescent="0.2">
      <c r="A17" s="1" t="s">
        <v>28</v>
      </c>
      <c r="B17" s="1">
        <v>527</v>
      </c>
      <c r="C17" s="1">
        <v>2.1</v>
      </c>
      <c r="D17" s="1">
        <v>2.2599999999999998</v>
      </c>
      <c r="E17" s="1">
        <v>100</v>
      </c>
      <c r="F17" s="4" t="s">
        <v>42</v>
      </c>
      <c r="G17" s="2">
        <v>0.5</v>
      </c>
      <c r="H17" s="1">
        <v>1</v>
      </c>
      <c r="I17" s="1">
        <v>100</v>
      </c>
      <c r="J17" s="5">
        <v>0.5</v>
      </c>
      <c r="K17" s="5">
        <v>7.3049999999999997</v>
      </c>
      <c r="L17" s="5">
        <v>0.10500000000000001</v>
      </c>
      <c r="M17" s="5">
        <v>118.5</v>
      </c>
      <c r="N17" s="5">
        <v>0.23</v>
      </c>
      <c r="O17" s="5">
        <v>7.5389999999999997</v>
      </c>
      <c r="P17" s="5">
        <v>0.09</v>
      </c>
      <c r="Q17" s="5">
        <v>116</v>
      </c>
      <c r="R17" s="5">
        <f t="shared" si="2"/>
        <v>70.900000000000006</v>
      </c>
    </row>
    <row r="18" spans="1:18" x14ac:dyDescent="0.2">
      <c r="A18" s="1" t="s">
        <v>29</v>
      </c>
      <c r="B18" s="1">
        <v>708</v>
      </c>
      <c r="C18" s="1">
        <v>2.0499999999999998</v>
      </c>
      <c r="D18" s="1">
        <v>2.33</v>
      </c>
      <c r="E18" s="1">
        <v>100</v>
      </c>
      <c r="F18" s="4" t="s">
        <v>42</v>
      </c>
      <c r="G18" s="2">
        <v>0.83333333333333337</v>
      </c>
      <c r="H18" s="1">
        <v>1</v>
      </c>
      <c r="I18" s="1">
        <v>100</v>
      </c>
      <c r="J18" s="5">
        <v>0.87</v>
      </c>
      <c r="K18" s="5">
        <v>7.2910000000000004</v>
      </c>
      <c r="L18" s="5">
        <v>0.20500000000000002</v>
      </c>
      <c r="M18" s="5">
        <v>120.2</v>
      </c>
      <c r="N18" s="5">
        <v>0.42</v>
      </c>
      <c r="O18" s="5">
        <v>7.524</v>
      </c>
      <c r="P18" s="5">
        <v>0.185</v>
      </c>
      <c r="Q18" s="5">
        <v>115.4</v>
      </c>
      <c r="R18" s="5">
        <f t="shared" si="2"/>
        <v>70.900000000000006</v>
      </c>
    </row>
    <row r="19" spans="1:18" x14ac:dyDescent="0.2">
      <c r="A19" s="1" t="s">
        <v>30</v>
      </c>
      <c r="B19" s="1">
        <v>503</v>
      </c>
      <c r="C19" s="1">
        <v>2.06</v>
      </c>
      <c r="D19" s="1">
        <v>2.29</v>
      </c>
      <c r="E19" s="1">
        <v>100</v>
      </c>
      <c r="F19" s="4" t="s">
        <v>42</v>
      </c>
      <c r="G19" s="2">
        <v>0.83333333333333337</v>
      </c>
      <c r="H19" s="1">
        <v>1</v>
      </c>
      <c r="I19" s="1">
        <v>100</v>
      </c>
      <c r="J19" s="5">
        <v>0.87</v>
      </c>
      <c r="K19" s="5">
        <v>7.2910000000000004</v>
      </c>
      <c r="L19" s="5">
        <v>0.20500000000000002</v>
      </c>
      <c r="M19" s="5">
        <v>120.2</v>
      </c>
      <c r="N19" s="5">
        <v>0.42</v>
      </c>
      <c r="O19" s="5">
        <v>7.524</v>
      </c>
      <c r="P19" s="5">
        <v>0.185</v>
      </c>
      <c r="Q19" s="5">
        <v>115.4</v>
      </c>
      <c r="R19" s="5">
        <f t="shared" si="2"/>
        <v>70.900000000000006</v>
      </c>
    </row>
    <row r="20" spans="1:18" x14ac:dyDescent="0.2">
      <c r="A20" s="1" t="s">
        <v>31</v>
      </c>
      <c r="B20" s="1">
        <v>613</v>
      </c>
      <c r="C20" s="1">
        <v>2.0299999999999998</v>
      </c>
      <c r="D20" s="1">
        <v>2.2200000000000002</v>
      </c>
      <c r="E20" s="1">
        <v>100</v>
      </c>
      <c r="F20" s="4" t="s">
        <v>42</v>
      </c>
      <c r="G20" s="2">
        <v>0.29166666666666669</v>
      </c>
      <c r="H20" s="1">
        <v>12</v>
      </c>
      <c r="I20" s="1">
        <v>70</v>
      </c>
      <c r="J20" s="5">
        <v>0.28000000000000003</v>
      </c>
      <c r="K20" s="5">
        <v>6.9530000000000003</v>
      </c>
      <c r="L20" s="5">
        <v>0.09</v>
      </c>
      <c r="M20" s="5">
        <v>78</v>
      </c>
      <c r="N20" s="5">
        <v>0.14000000000000001</v>
      </c>
      <c r="O20" s="5">
        <v>7.1230000000000002</v>
      </c>
      <c r="P20" s="5">
        <v>0.06</v>
      </c>
      <c r="Q20" s="5">
        <v>76.08</v>
      </c>
      <c r="R20" s="5">
        <f>AVERAGE(65.5,76.4)</f>
        <v>70.95</v>
      </c>
    </row>
    <row r="21" spans="1:18" x14ac:dyDescent="0.2">
      <c r="A21" s="1" t="s">
        <v>32</v>
      </c>
      <c r="B21" s="1">
        <v>552</v>
      </c>
      <c r="C21" s="1">
        <v>2.04</v>
      </c>
      <c r="D21" s="1">
        <v>2.2200000000000002</v>
      </c>
      <c r="E21" s="1">
        <v>100</v>
      </c>
      <c r="F21" s="4" t="s">
        <v>42</v>
      </c>
      <c r="G21" s="2">
        <v>0.29166666666666669</v>
      </c>
      <c r="H21" s="1">
        <v>12</v>
      </c>
      <c r="I21" s="1">
        <v>70</v>
      </c>
      <c r="J21" s="5">
        <v>0.28000000000000003</v>
      </c>
      <c r="K21" s="5">
        <v>6.9530000000000003</v>
      </c>
      <c r="L21" s="5">
        <v>0.09</v>
      </c>
      <c r="M21" s="5">
        <v>78</v>
      </c>
      <c r="N21" s="5">
        <v>0.14000000000000001</v>
      </c>
      <c r="O21" s="5">
        <v>7.1230000000000002</v>
      </c>
      <c r="P21" s="5">
        <v>0.06</v>
      </c>
      <c r="Q21" s="5">
        <v>76.08</v>
      </c>
      <c r="R21" s="5">
        <f>AVERAGE(65.5,76.4)</f>
        <v>70.95</v>
      </c>
    </row>
    <row r="22" spans="1:18" x14ac:dyDescent="0.2">
      <c r="A22" s="1" t="s">
        <v>33</v>
      </c>
      <c r="B22" s="1">
        <v>572</v>
      </c>
      <c r="C22" s="1">
        <v>2.0299999999999998</v>
      </c>
      <c r="D22" s="1">
        <v>2.2200000000000002</v>
      </c>
      <c r="E22" s="1">
        <v>100</v>
      </c>
      <c r="F22" s="4" t="s">
        <v>42</v>
      </c>
      <c r="G22" s="2">
        <v>0.5</v>
      </c>
      <c r="H22" s="1">
        <v>12</v>
      </c>
      <c r="I22" s="1">
        <v>70</v>
      </c>
      <c r="J22" s="5">
        <v>0.62</v>
      </c>
      <c r="K22" s="5">
        <v>6.952</v>
      </c>
      <c r="L22" s="5">
        <v>0.1</v>
      </c>
      <c r="M22" s="5">
        <v>74.06</v>
      </c>
      <c r="N22" s="5">
        <v>0.255</v>
      </c>
      <c r="O22" s="5">
        <v>7.1219999999999999</v>
      </c>
      <c r="P22" s="5">
        <v>7.0000000000000007E-2</v>
      </c>
      <c r="Q22" s="5">
        <v>73.03</v>
      </c>
      <c r="R22" s="5">
        <f t="shared" ref="R22:R25" si="3">AVERAGE(65.5,76.4)</f>
        <v>70.95</v>
      </c>
    </row>
    <row r="23" spans="1:18" x14ac:dyDescent="0.2">
      <c r="A23" s="1" t="s">
        <v>34</v>
      </c>
      <c r="B23" s="1">
        <v>595</v>
      </c>
      <c r="C23" s="1">
        <v>2.04</v>
      </c>
      <c r="D23" s="1">
        <v>2.2599999999999998</v>
      </c>
      <c r="E23" s="1">
        <v>100</v>
      </c>
      <c r="F23" s="4" t="s">
        <v>42</v>
      </c>
      <c r="G23" s="2">
        <v>0.5</v>
      </c>
      <c r="H23" s="1">
        <v>12</v>
      </c>
      <c r="I23" s="1">
        <v>70</v>
      </c>
      <c r="J23" s="5">
        <v>0.62</v>
      </c>
      <c r="K23" s="5">
        <v>6.952</v>
      </c>
      <c r="L23" s="5">
        <v>0.1</v>
      </c>
      <c r="M23" s="5">
        <v>74.06</v>
      </c>
      <c r="N23" s="5">
        <v>0.255</v>
      </c>
      <c r="O23" s="5">
        <v>7.1219999999999999</v>
      </c>
      <c r="P23" s="5">
        <v>7.0000000000000007E-2</v>
      </c>
      <c r="Q23" s="5">
        <v>73.03</v>
      </c>
      <c r="R23" s="5">
        <f t="shared" si="3"/>
        <v>70.95</v>
      </c>
    </row>
    <row r="24" spans="1:18" x14ac:dyDescent="0.2">
      <c r="A24" s="1" t="s">
        <v>35</v>
      </c>
      <c r="B24" s="1">
        <v>556</v>
      </c>
      <c r="C24" s="1">
        <v>2.1</v>
      </c>
      <c r="D24" s="1">
        <v>2.33</v>
      </c>
      <c r="E24" s="1">
        <v>100</v>
      </c>
      <c r="F24" s="4" t="s">
        <v>42</v>
      </c>
      <c r="G24" s="2">
        <v>0.83333333333333337</v>
      </c>
      <c r="H24" s="1">
        <v>12</v>
      </c>
      <c r="I24" s="1">
        <v>70</v>
      </c>
      <c r="J24" s="5">
        <v>1.2050000000000001</v>
      </c>
      <c r="K24" s="5">
        <v>7.024</v>
      </c>
      <c r="L24" s="5">
        <v>0.20500000000000002</v>
      </c>
      <c r="M24" s="5">
        <v>74.42</v>
      </c>
      <c r="N24" s="5">
        <v>0.51500000000000001</v>
      </c>
      <c r="O24" s="5">
        <v>7.1189999999999998</v>
      </c>
      <c r="P24" s="5">
        <v>0.155</v>
      </c>
      <c r="Q24" s="5">
        <v>73.2</v>
      </c>
      <c r="R24" s="5">
        <f t="shared" si="3"/>
        <v>70.95</v>
      </c>
    </row>
    <row r="25" spans="1:18" x14ac:dyDescent="0.2">
      <c r="A25" s="1" t="s">
        <v>36</v>
      </c>
      <c r="B25" s="1">
        <v>552</v>
      </c>
      <c r="C25" s="1">
        <v>2</v>
      </c>
      <c r="D25" s="1">
        <v>2.35</v>
      </c>
      <c r="E25" s="1">
        <v>100</v>
      </c>
      <c r="F25" s="4" t="s">
        <v>42</v>
      </c>
      <c r="G25" s="2">
        <v>0.83333333333333337</v>
      </c>
      <c r="H25" s="1">
        <v>12</v>
      </c>
      <c r="I25" s="1">
        <v>70</v>
      </c>
      <c r="J25" s="5">
        <v>1.2050000000000001</v>
      </c>
      <c r="K25" s="5">
        <v>7.024</v>
      </c>
      <c r="L25" s="5">
        <v>0.20500000000000002</v>
      </c>
      <c r="M25" s="5">
        <v>74.42</v>
      </c>
      <c r="N25" s="5">
        <v>0.51500000000000001</v>
      </c>
      <c r="O25" s="5">
        <v>7.1189999999999998</v>
      </c>
      <c r="P25" s="5">
        <v>0.155</v>
      </c>
      <c r="Q25" s="5">
        <v>73.2</v>
      </c>
      <c r="R25" s="5">
        <f t="shared" si="3"/>
        <v>70.95</v>
      </c>
    </row>
    <row r="26" spans="1:18" x14ac:dyDescent="0.2">
      <c r="A26" s="1" t="s">
        <v>12</v>
      </c>
      <c r="B26" s="1">
        <v>450</v>
      </c>
      <c r="C26" s="1">
        <v>2.0499999999999998</v>
      </c>
      <c r="D26" s="1">
        <v>2.3199999999999998</v>
      </c>
      <c r="E26" s="1">
        <v>100</v>
      </c>
      <c r="F26" s="3">
        <v>44938</v>
      </c>
      <c r="G26" s="2">
        <v>0.29166666666666669</v>
      </c>
      <c r="H26" s="1">
        <v>1</v>
      </c>
      <c r="I26" s="1">
        <v>70</v>
      </c>
      <c r="J26" s="1">
        <v>0.22500000000000001</v>
      </c>
      <c r="K26" s="1">
        <v>7.26</v>
      </c>
      <c r="L26" s="1">
        <v>6.5000000000000002E-2</v>
      </c>
      <c r="M26" s="1">
        <v>75.67</v>
      </c>
      <c r="N26" s="1">
        <v>0.11499999999999999</v>
      </c>
      <c r="O26" s="1">
        <v>7.4809999999999999</v>
      </c>
      <c r="P26" s="1">
        <v>0.05</v>
      </c>
      <c r="Q26" s="1">
        <v>72.239999999999995</v>
      </c>
      <c r="R26" s="1">
        <v>54.533333333333331</v>
      </c>
    </row>
    <row r="27" spans="1:18" x14ac:dyDescent="0.2">
      <c r="A27" s="1" t="s">
        <v>13</v>
      </c>
      <c r="B27" s="1">
        <v>300</v>
      </c>
      <c r="C27" s="1">
        <v>2.06</v>
      </c>
      <c r="D27" s="1">
        <v>2.38</v>
      </c>
      <c r="E27" s="1">
        <v>100</v>
      </c>
      <c r="F27" s="3">
        <v>44938</v>
      </c>
      <c r="G27" s="2">
        <v>0.29166666666666669</v>
      </c>
      <c r="H27" s="1">
        <v>1</v>
      </c>
      <c r="I27" s="1">
        <v>70</v>
      </c>
      <c r="J27" s="1">
        <v>0.22500000000000001</v>
      </c>
      <c r="K27" s="1">
        <v>7.26</v>
      </c>
      <c r="L27" s="1">
        <v>6.5000000000000002E-2</v>
      </c>
      <c r="M27" s="1">
        <v>75.67</v>
      </c>
      <c r="N27" s="1">
        <v>0.11499999999999999</v>
      </c>
      <c r="O27" s="1">
        <v>7.4809999999999999</v>
      </c>
      <c r="P27" s="1">
        <v>0.05</v>
      </c>
      <c r="Q27" s="1">
        <v>72.239999999999995</v>
      </c>
      <c r="R27" s="1">
        <v>54.533333333333331</v>
      </c>
    </row>
    <row r="28" spans="1:18" x14ac:dyDescent="0.2">
      <c r="A28" s="1" t="s">
        <v>14</v>
      </c>
      <c r="B28" s="1">
        <v>358</v>
      </c>
      <c r="C28" s="1">
        <v>2.06</v>
      </c>
      <c r="D28" s="1">
        <v>2.2999999999999998</v>
      </c>
      <c r="E28" s="1">
        <v>100</v>
      </c>
      <c r="F28" s="3">
        <v>44938</v>
      </c>
      <c r="G28" s="2">
        <v>0.5</v>
      </c>
      <c r="H28" s="1">
        <v>1</v>
      </c>
      <c r="I28" s="1">
        <v>70</v>
      </c>
      <c r="J28" s="1">
        <v>0.56999999999999995</v>
      </c>
      <c r="K28" s="1">
        <v>7.1379999999999999</v>
      </c>
      <c r="L28" s="1">
        <v>7.0000000000000007E-2</v>
      </c>
      <c r="M28" s="1">
        <v>73.680000000000007</v>
      </c>
      <c r="N28" s="1">
        <v>0.23</v>
      </c>
      <c r="O28" s="1">
        <v>7.3529999999999998</v>
      </c>
      <c r="P28" s="1">
        <v>6.5000000000000002E-2</v>
      </c>
      <c r="Q28" s="1">
        <v>72.09</v>
      </c>
      <c r="R28" s="1">
        <v>46.35</v>
      </c>
    </row>
    <row r="29" spans="1:18" x14ac:dyDescent="0.2">
      <c r="A29" s="1" t="s">
        <v>15</v>
      </c>
      <c r="B29" s="1">
        <v>361</v>
      </c>
      <c r="C29" s="1">
        <v>2.0499999999999998</v>
      </c>
      <c r="D29" s="1">
        <v>2.4</v>
      </c>
      <c r="E29" s="1">
        <v>100</v>
      </c>
      <c r="F29" s="3">
        <v>44938</v>
      </c>
      <c r="G29" s="2">
        <v>0.5</v>
      </c>
      <c r="H29" s="1">
        <v>1</v>
      </c>
      <c r="I29" s="1">
        <v>70</v>
      </c>
      <c r="J29" s="1">
        <v>0.56999999999999995</v>
      </c>
      <c r="K29" s="1">
        <v>7.1379999999999999</v>
      </c>
      <c r="L29" s="1">
        <v>7.0000000000000007E-2</v>
      </c>
      <c r="M29" s="1">
        <v>73.680000000000007</v>
      </c>
      <c r="N29" s="1">
        <v>0.23</v>
      </c>
      <c r="O29" s="1">
        <v>7.3529999999999998</v>
      </c>
      <c r="P29" s="1">
        <v>6.5000000000000002E-2</v>
      </c>
      <c r="Q29" s="1">
        <v>72.09</v>
      </c>
      <c r="R29" s="1">
        <v>46.35</v>
      </c>
    </row>
    <row r="30" spans="1:18" x14ac:dyDescent="0.2">
      <c r="A30" s="1" t="s">
        <v>16</v>
      </c>
      <c r="B30" s="1">
        <v>290</v>
      </c>
      <c r="C30" s="1">
        <v>2.0499999999999998</v>
      </c>
      <c r="D30" s="1">
        <v>2.2000000000000002</v>
      </c>
      <c r="E30" s="1">
        <v>100</v>
      </c>
      <c r="F30" s="3">
        <v>44938</v>
      </c>
      <c r="G30" s="2">
        <v>0.83333333333333337</v>
      </c>
      <c r="H30" s="1">
        <v>1</v>
      </c>
      <c r="I30" s="1">
        <v>70</v>
      </c>
      <c r="J30" s="1">
        <v>1.1200000000000001</v>
      </c>
      <c r="K30" s="1">
        <v>7.133</v>
      </c>
      <c r="L30" s="1">
        <v>0.14000000000000001</v>
      </c>
      <c r="M30" s="1">
        <v>85.75</v>
      </c>
      <c r="N30" s="1">
        <v>0.46499999999999997</v>
      </c>
      <c r="O30" s="1">
        <v>7.4349999999999996</v>
      </c>
      <c r="P30" s="1">
        <v>0.125</v>
      </c>
      <c r="Q30" s="1">
        <v>84.67</v>
      </c>
      <c r="R30" s="1">
        <v>57.25</v>
      </c>
    </row>
    <row r="31" spans="1:18" x14ac:dyDescent="0.2">
      <c r="A31" s="1" t="s">
        <v>17</v>
      </c>
      <c r="B31" s="1">
        <v>300</v>
      </c>
      <c r="C31" s="1">
        <v>2.06</v>
      </c>
      <c r="D31" s="1">
        <v>2.2000000000000002</v>
      </c>
      <c r="E31" s="1">
        <v>100</v>
      </c>
      <c r="F31" s="3">
        <v>44938</v>
      </c>
      <c r="G31" s="2">
        <v>0.83333333333333337</v>
      </c>
      <c r="H31" s="1">
        <v>1</v>
      </c>
      <c r="I31" s="1">
        <v>70</v>
      </c>
      <c r="J31" s="1">
        <v>1.1200000000000001</v>
      </c>
      <c r="K31" s="1">
        <v>7.133</v>
      </c>
      <c r="L31" s="1">
        <v>0.14000000000000001</v>
      </c>
      <c r="M31" s="1">
        <v>85.75</v>
      </c>
      <c r="N31" s="1">
        <v>0.46499999999999997</v>
      </c>
      <c r="O31" s="1">
        <v>7.4349999999999996</v>
      </c>
      <c r="P31" s="1">
        <v>0.125</v>
      </c>
      <c r="Q31" s="1">
        <v>84.67</v>
      </c>
      <c r="R31" s="1">
        <v>57.25</v>
      </c>
    </row>
    <row r="32" spans="1:18" x14ac:dyDescent="0.2">
      <c r="A32" s="1" t="s">
        <v>18</v>
      </c>
      <c r="B32" s="1">
        <v>358</v>
      </c>
      <c r="C32" s="1">
        <v>2.06</v>
      </c>
      <c r="D32" s="1">
        <v>2.27</v>
      </c>
      <c r="E32" s="1">
        <v>100</v>
      </c>
      <c r="F32" s="3">
        <v>44938</v>
      </c>
      <c r="G32" s="2">
        <v>0.29166666666666669</v>
      </c>
      <c r="H32" s="1">
        <v>12</v>
      </c>
      <c r="I32" s="1">
        <v>200</v>
      </c>
      <c r="J32" s="1">
        <v>0.21500000000000002</v>
      </c>
      <c r="K32" s="1">
        <v>7.6020000000000003</v>
      </c>
      <c r="L32" s="1">
        <v>0.08</v>
      </c>
      <c r="M32" s="1">
        <v>187.6</v>
      </c>
      <c r="N32" s="1">
        <v>0.13</v>
      </c>
      <c r="O32" s="1">
        <v>7.7679999999999998</v>
      </c>
      <c r="P32" s="1">
        <v>7.0000000000000007E-2</v>
      </c>
      <c r="Q32" s="1">
        <v>188.5</v>
      </c>
      <c r="R32" s="1">
        <v>62.75</v>
      </c>
    </row>
    <row r="33" spans="1:18" x14ac:dyDescent="0.2">
      <c r="A33" s="1" t="s">
        <v>19</v>
      </c>
      <c r="B33" s="1">
        <v>350</v>
      </c>
      <c r="C33" s="1">
        <v>2.0499999999999998</v>
      </c>
      <c r="D33" s="1">
        <v>2.36</v>
      </c>
      <c r="E33" s="1">
        <v>100</v>
      </c>
      <c r="F33" s="3">
        <v>44938</v>
      </c>
      <c r="G33" s="2">
        <v>0.29166666666666669</v>
      </c>
      <c r="H33" s="1">
        <v>12</v>
      </c>
      <c r="I33" s="1">
        <v>200</v>
      </c>
      <c r="J33" s="1">
        <v>0.21500000000000002</v>
      </c>
      <c r="K33" s="1">
        <v>7.6020000000000003</v>
      </c>
      <c r="L33" s="1">
        <v>0.08</v>
      </c>
      <c r="M33" s="1">
        <v>187.6</v>
      </c>
      <c r="N33" s="1">
        <v>0.13</v>
      </c>
      <c r="O33" s="1">
        <v>7.7679999999999998</v>
      </c>
      <c r="P33" s="1">
        <v>7.0000000000000007E-2</v>
      </c>
      <c r="Q33" s="1">
        <v>188.5</v>
      </c>
      <c r="R33" s="1">
        <v>62.75</v>
      </c>
    </row>
    <row r="34" spans="1:18" x14ac:dyDescent="0.2">
      <c r="A34" s="1" t="s">
        <v>20</v>
      </c>
      <c r="B34" s="1">
        <v>341</v>
      </c>
      <c r="C34" s="1">
        <v>2.0499999999999998</v>
      </c>
      <c r="D34" s="1">
        <v>2.2000000000000002</v>
      </c>
      <c r="E34" s="1">
        <v>100</v>
      </c>
      <c r="F34" s="3">
        <v>44938</v>
      </c>
      <c r="G34" s="2">
        <v>0.5</v>
      </c>
      <c r="H34" s="1">
        <v>12</v>
      </c>
      <c r="I34" s="1">
        <v>200</v>
      </c>
      <c r="J34" s="1">
        <v>0.57499999999999996</v>
      </c>
      <c r="K34" s="1">
        <v>7.42</v>
      </c>
      <c r="L34" s="1">
        <v>0.10500000000000001</v>
      </c>
      <c r="M34" s="1">
        <v>183.2</v>
      </c>
      <c r="N34" s="1">
        <v>0.255</v>
      </c>
      <c r="O34" s="1">
        <v>7.6689999999999996</v>
      </c>
      <c r="P34" s="1">
        <v>0.09</v>
      </c>
      <c r="Q34" s="1">
        <v>186.9</v>
      </c>
      <c r="R34" s="1">
        <v>60</v>
      </c>
    </row>
    <row r="35" spans="1:18" x14ac:dyDescent="0.2">
      <c r="A35" s="1" t="s">
        <v>21</v>
      </c>
      <c r="B35" s="1">
        <v>357</v>
      </c>
      <c r="C35" s="1">
        <v>2.0499999999999998</v>
      </c>
      <c r="D35" s="1">
        <v>2.35</v>
      </c>
      <c r="E35" s="1">
        <v>100</v>
      </c>
      <c r="F35" s="3">
        <v>44938</v>
      </c>
      <c r="G35" s="2">
        <v>0.5</v>
      </c>
      <c r="H35" s="1">
        <v>12</v>
      </c>
      <c r="I35" s="1">
        <v>200</v>
      </c>
      <c r="J35" s="1">
        <v>0.57499999999999996</v>
      </c>
      <c r="K35" s="1">
        <v>7.42</v>
      </c>
      <c r="L35" s="1">
        <v>0.10500000000000001</v>
      </c>
      <c r="M35" s="1">
        <v>183.2</v>
      </c>
      <c r="N35" s="1">
        <v>0.255</v>
      </c>
      <c r="O35" s="1">
        <v>7.6689999999999996</v>
      </c>
      <c r="P35" s="1">
        <v>0.09</v>
      </c>
      <c r="Q35" s="1">
        <v>186.9</v>
      </c>
      <c r="R35" s="1">
        <v>60</v>
      </c>
    </row>
    <row r="36" spans="1:18" x14ac:dyDescent="0.2">
      <c r="A36" s="1" t="s">
        <v>22</v>
      </c>
      <c r="B36" s="1">
        <v>313</v>
      </c>
      <c r="C36" s="1">
        <v>2.0499999999999998</v>
      </c>
      <c r="D36" s="1">
        <v>2.35</v>
      </c>
      <c r="E36" s="1">
        <v>100</v>
      </c>
      <c r="F36" s="3">
        <v>44938</v>
      </c>
      <c r="G36" s="2">
        <v>0.83333333333333337</v>
      </c>
      <c r="H36" s="1">
        <v>12</v>
      </c>
      <c r="I36" s="1">
        <v>200</v>
      </c>
      <c r="J36" s="1">
        <v>0.85499999999999998</v>
      </c>
      <c r="K36" s="1">
        <v>7.4450000000000003</v>
      </c>
      <c r="L36" s="1">
        <v>0.19500000000000001</v>
      </c>
      <c r="M36" s="1">
        <v>190.5</v>
      </c>
      <c r="N36" s="1">
        <v>0.42499999999999999</v>
      </c>
      <c r="O36" s="1">
        <v>7.6470000000000002</v>
      </c>
      <c r="P36" s="1">
        <v>0.185</v>
      </c>
      <c r="Q36" s="1">
        <v>190.1</v>
      </c>
      <c r="R36" s="1">
        <v>73.650000000000006</v>
      </c>
    </row>
    <row r="37" spans="1:18" x14ac:dyDescent="0.2">
      <c r="A37" s="1" t="s">
        <v>23</v>
      </c>
      <c r="B37" s="1">
        <v>351</v>
      </c>
      <c r="C37" s="1">
        <v>2.04</v>
      </c>
      <c r="D37" s="1">
        <v>2.31</v>
      </c>
      <c r="E37" s="1">
        <v>100</v>
      </c>
      <c r="F37" s="3">
        <v>44938</v>
      </c>
      <c r="G37" s="2">
        <v>0.83333333333333337</v>
      </c>
      <c r="H37" s="1">
        <v>12</v>
      </c>
      <c r="I37" s="1">
        <v>200</v>
      </c>
      <c r="J37" s="1">
        <v>0.85499999999999998</v>
      </c>
      <c r="K37" s="1">
        <v>7.4450000000000003</v>
      </c>
      <c r="L37" s="1">
        <v>0.19500000000000001</v>
      </c>
      <c r="M37" s="1">
        <v>190.5</v>
      </c>
      <c r="N37" s="1">
        <v>0.42499999999999999</v>
      </c>
      <c r="O37" s="1">
        <v>7.6470000000000002</v>
      </c>
      <c r="P37" s="1">
        <v>0.185</v>
      </c>
      <c r="Q37" s="1">
        <v>190.1</v>
      </c>
      <c r="R37" s="1">
        <v>73.650000000000006</v>
      </c>
    </row>
    <row r="39" spans="1:18" x14ac:dyDescent="0.2">
      <c r="A39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Montjouridès</dc:creator>
  <cp:lastModifiedBy>Michael Dondrup</cp:lastModifiedBy>
  <cp:lastPrinted>2024-01-16T17:47:20Z</cp:lastPrinted>
  <dcterms:created xsi:type="dcterms:W3CDTF">2023-11-27T11:24:19Z</dcterms:created>
  <dcterms:modified xsi:type="dcterms:W3CDTF">2024-10-06T11:19:10Z</dcterms:modified>
</cp:coreProperties>
</file>